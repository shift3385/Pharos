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" sheetId="1" state="visible" r:id="rId3"/>
    <sheet name="Resumen Cobertura" sheetId="2" state="visible" r:id="rId4"/>
    <sheet name="Guí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<sst xmlns="http://schemas.openxmlformats.org/spreadsheetml/2006/main" count="61" uniqueCount="53">
  <si>
    <t xml:space="preserve">PHAROS</t>
  </si>
  <si>
    <t xml:space="preserve">Matriz de Trazabilidad de Requisitos</t>
  </si>
  <si>
    <t xml:space="preserve">ID de documento</t>
  </si>
  <si>
    <t xml:space="preserve">Proyecto</t>
  </si>
  <si>
    <t xml:space="preserve">Versión</t>
  </si>
  <si>
    <t xml:space="preserve">1.0</t>
  </si>
  <si>
    <t xml:space="preserve">ID REQUISITO</t>
  </si>
  <si>
    <t xml:space="preserve">DESCRIPCIÓN DEL REQUISITO</t>
  </si>
  <si>
    <t xml:space="preserve">PRIORIDAD</t>
  </si>
  <si>
    <t xml:space="preserve">ID CASO DE PRUEBA</t>
  </si>
  <si>
    <t xml:space="preserve">DESCRIPCIÓN DEL CASO</t>
  </si>
  <si>
    <t xml:space="preserve">ESTADO DE PRUEBA</t>
  </si>
  <si>
    <t xml:space="preserve">ID DEFECTO</t>
  </si>
  <si>
    <t xml:space="preserve">COBERTURA</t>
  </si>
  <si>
    <t xml:space="preserve">COMENTARIOS</t>
  </si>
  <si>
    <t xml:space="preserve">REQ-001</t>
  </si>
  <si>
    <t xml:space="preserve">El usuario puede iniciar sesión con credenciales válidas</t>
  </si>
  <si>
    <t xml:space="preserve">Alta</t>
  </si>
  <si>
    <t xml:space="preserve">ATS_001</t>
  </si>
  <si>
    <t xml:space="preserve">Inicio de sesión — camino positivo</t>
  </si>
  <si>
    <t xml:space="preserve">Pasa</t>
  </si>
  <si>
    <t xml:space="preserve">Cubierto</t>
  </si>
  <si>
    <t xml:space="preserve">Camino feliz</t>
  </si>
  <si>
    <t xml:space="preserve">ATS_002</t>
  </si>
  <si>
    <t xml:space="preserve">Inicio de sesión — credenciales inválidas</t>
  </si>
  <si>
    <t xml:space="preserve">Falla</t>
  </si>
  <si>
    <t xml:space="preserve">DEF-014</t>
  </si>
  <si>
    <t xml:space="preserve">Trazabilidad completa: requisito → caso → defecto</t>
  </si>
  <si>
    <t xml:space="preserve">Resumen de Cobertura y Ejecución</t>
  </si>
  <si>
    <t xml:space="preserve">Cobertura de requisitos</t>
  </si>
  <si>
    <t xml:space="preserve">Total de requisitos</t>
  </si>
  <si>
    <t xml:space="preserve">Requisitos cubiertos</t>
  </si>
  <si>
    <t xml:space="preserve">Requisitos no cubiertos</t>
  </si>
  <si>
    <t xml:space="preserve">% de cobertura</t>
  </si>
  <si>
    <t xml:space="preserve">Estado de ejecución</t>
  </si>
  <si>
    <t xml:space="preserve">Bloqueado</t>
  </si>
  <si>
    <t xml:space="preserve">No ejecutado</t>
  </si>
  <si>
    <t xml:space="preserve">Los valores se calculan automáticamente a partir de la hoja 'Matriz'. Objetivo recomendado: 100% de cobertura antes del cierre de pruebas.</t>
  </si>
  <si>
    <t xml:space="preserve">Cómo usar esta matriz</t>
  </si>
  <si>
    <t xml:space="preserve">¿Qué es?</t>
  </si>
  <si>
    <t xml:space="preserve">La Matriz de Trazabilidad de Requisitos (RTM) vincula cada requisito con los casos de prueba que lo verifican, sus resultados y los defectos asociados. Es la base de la trazabilidad bidireccional: del requisito a la prueba y de la prueba de vuelta al requisito.</t>
  </si>
  <si>
    <t xml:space="preserve">Columnas</t>
  </si>
  <si>
    <t xml:space="preserve">ID REQUISITO / DESCRIPCIÓN: el requisito o historia de usuario a trazar.</t>
  </si>
  <si>
    <t xml:space="preserve">PRIORIDAD: importancia del requisito (Alta / Media / Baja).</t>
  </si>
  <si>
    <t xml:space="preserve">ID CASO DE PRUEBA / DESCRIPCIÓN: el caso que verifica el requisito. Un requisito puede tener varios casos (una fila por vínculo).</t>
  </si>
  <si>
    <t xml:space="preserve">ESTADO DE PRUEBA: Pasa / Falla / Bloqueado / No ejecutado (lista desplegable).</t>
  </si>
  <si>
    <t xml:space="preserve">ID DEFECTO: defecto vinculado cuando la prueba falla; da la lineage completa requisito → caso → defecto.</t>
  </si>
  <si>
    <t xml:space="preserve">COBERTURA: Cubierto / No cubierto (lista desplegable). Un requisito sin caso queda 'No cubierto'.</t>
  </si>
  <si>
    <t xml:space="preserve">COMENTARIOS: contexto adicional.</t>
  </si>
  <si>
    <t xml:space="preserve">En Pharos</t>
  </si>
  <si>
    <t xml:space="preserve">A partir de la v0.0.2, Pharos rellena esta matriz automáticamente: el ID de requisito viene del campo TRAZABILIDAD del caso de prueba, y el ID/descripción/estado del caso ya existen. La hoja 'Resumen Cobertura' se recalcula sola.</t>
  </si>
  <si>
    <t xml:space="preserve">Estándares</t>
  </si>
  <si>
    <t xml:space="preserve">Conforme a ISO/IEC/IEEE 29119 (trazabilidad base de pruebas ↔ testware ↔ resultados ↔ defectos) e ISTQB CTFL v4.0.1 §1.4.4.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</si>
</sst>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2A33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4324F"/>
      <name val="Arial"/>
      <family val="0"/>
      <charset val="1"/>
    </font>
    <font>
      <sz val="9"/>
      <color rgb="FF1C253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5F6B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C2530"/>
      <name val="Arial"/>
      <family val="0"/>
      <charset val="1"/>
    </font>
    <font>
      <b val="true"/>
      <sz val="11"/>
      <color rgb="FF4A2E05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0"/>
      <color rgb="FFD64545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b val="true"/>
      <sz val="10"/>
      <color rgb="FF5F6B7A"/>
      <name val="Arial"/>
      <family val="0"/>
      <charset val="1"/>
    </font>
    <font>
      <i val="true"/>
      <sz val="8"/>
      <color rgb="FF5F6B7A"/>
      <name val="Arial"/>
      <family val="0"/>
      <charset val="1"/>
    </font>
    <font>
      <b val="true"/>
      <sz val="10"/>
      <color rgb="FF14324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F33"/>
        <bgColor rgb="FF1C2530"/>
      </patternFill>
    </fill>
    <fill>
      <patternFill patternType="solid">
        <fgColor rgb="FF14324F"/>
        <bgColor rgb="FF1C2530"/>
      </patternFill>
    </fill>
    <fill>
      <patternFill patternType="solid">
        <fgColor rgb="FFE3EEF7"/>
        <bgColor rgb="FFE2E6EB"/>
      </patternFill>
    </fill>
    <fill>
      <patternFill patternType="solid">
        <fgColor rgb="FFFFFFFF"/>
        <bgColor rgb="FFF7F8FA"/>
      </patternFill>
    </fill>
    <fill>
      <patternFill patternType="solid">
        <fgColor rgb="FF1F4E79"/>
        <bgColor rgb="FF14324F"/>
      </patternFill>
    </fill>
    <fill>
      <patternFill patternType="solid">
        <fgColor rgb="FFF7F8FA"/>
        <bgColor rgb="FFFFFFFF"/>
      </patternFill>
    </fill>
    <fill>
      <patternFill patternType="solid">
        <fgColor rgb="FFF2A33C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6EB"/>
      </left>
      <right style="thin">
        <color rgb="FFE2E6EB"/>
      </right>
      <top style="thin">
        <color rgb="FFE2E6EB"/>
      </top>
      <bottom style="thin">
        <color rgb="FFE2E6EB"/>
      </bottom>
      <diagonal/>
    </border>
    <border diagonalUp="false" diagonalDown="false">
      <left style="thin">
        <color rgb="FFE2E6EB"/>
      </left>
      <right/>
      <top style="thin">
        <color rgb="FFE2E6EB"/>
      </top>
      <bottom style="thin">
        <color rgb="FFE2E6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D64545"/>
      <rgbColor rgb="FFF7F8FA"/>
      <rgbColor rgb="FFE3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6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2A33C"/>
      <rgbColor rgb="FFFF6600"/>
      <rgbColor rgb="FF5F6B7A"/>
      <rgbColor rgb="FF969696"/>
      <rgbColor rgb="FF14324F"/>
      <rgbColor rgb="FF1D9E75"/>
      <rgbColor rgb="FF0B1F33"/>
      <rgbColor rgb="FF4A2E05"/>
      <rgbColor rgb="FF993300"/>
      <rgbColor rgb="FF993366"/>
      <rgbColor rgb="FF1F4E79"/>
      <rgbColor rgb="FF1C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2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26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</row>
    <row r="3" customFormat="false" ht="15" hidden="false" customHeight="true" outlineLevel="0" collapsed="false">
      <c r="B3" s="3" t="s">
        <v>2</v>
      </c>
      <c r="C3" s="4"/>
      <c r="D3" s="4"/>
      <c r="E3" s="3" t="s">
        <v>3</v>
      </c>
      <c r="F3" s="4"/>
      <c r="G3" s="4"/>
      <c r="H3" s="3" t="s">
        <v>4</v>
      </c>
      <c r="I3" s="4" t="s">
        <v>5</v>
      </c>
      <c r="J3" s="4"/>
    </row>
    <row r="5" customFormat="false" ht="30" hidden="false" customHeight="true" outlineLevel="0" collapsed="false"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  <c r="H5" s="5" t="s">
        <v>12</v>
      </c>
      <c r="I5" s="5" t="s">
        <v>13</v>
      </c>
      <c r="J5" s="5" t="s">
        <v>14</v>
      </c>
    </row>
    <row r="6" customFormat="false" ht="27.75" hidden="false" customHeight="true" outlineLevel="0" collapsed="false"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/>
      <c r="I6" s="6" t="s">
        <v>21</v>
      </c>
      <c r="J6" s="6" t="s">
        <v>22</v>
      </c>
    </row>
    <row r="7" customFormat="false" ht="27.75" hidden="false" customHeight="true" outlineLevel="0" collapsed="false">
      <c r="B7" s="6" t="s">
        <v>15</v>
      </c>
      <c r="C7" s="6" t="s">
        <v>16</v>
      </c>
      <c r="D7" s="6" t="s">
        <v>17</v>
      </c>
      <c r="E7" s="6" t="s">
        <v>23</v>
      </c>
      <c r="F7" s="6" t="s">
        <v>24</v>
      </c>
      <c r="G7" s="6" t="s">
        <v>25</v>
      </c>
      <c r="H7" s="6" t="s">
        <v>26</v>
      </c>
      <c r="I7" s="6" t="s">
        <v>21</v>
      </c>
      <c r="J7" s="6" t="s">
        <v>27</v>
      </c>
    </row>
    <row r="8" customFormat="false" ht="15" hidden="false" customHeight="false" outlineLevel="0" collapsed="false"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B9" s="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B11" s="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B13" s="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B15" s="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B19" s="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B21" s="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B23" s="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B25" s="8"/>
      <c r="C25" s="8"/>
      <c r="D25" s="8"/>
      <c r="E25" s="8"/>
      <c r="F25" s="8"/>
      <c r="G25" s="8"/>
      <c r="H25" s="8"/>
      <c r="I25" s="8"/>
      <c r="J25" s="8"/>
    </row>
  </sheetData>
  <mergeCells count="5">
    <mergeCell ref="B1:J1"/>
    <mergeCell ref="B2:J2"/>
    <mergeCell ref="C3:D3"/>
    <mergeCell ref="F3:G3"/>
    <mergeCell ref="I3:J3"/>
  </mergeCells>
  <dataValidations count="3">
    <dataValidation allowBlank="true" errorStyle="stop" operator="between" showDropDown="false" showErrorMessage="false" showInputMessage="false" sqref="G8:G25" type="list">
      <formula1>"Pasa,Falla,Bloqueado,No ejecutado"</formula1>
      <formula2>0</formula2>
    </dataValidation>
    <dataValidation allowBlank="true" errorStyle="stop" operator="between" showDropDown="false" showErrorMessage="false" showInputMessage="false" sqref="I8:I25" type="list">
      <formula1>"Cubierto,No cubierto"</formula1>
      <formula2>0</formula2>
    </dataValidation>
    <dataValidation allowBlank="true" errorStyle="stop" operator="between" showDropDown="false" showErrorMessage="false" showInputMessage="false" sqref="D8:D25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&amp;RPHRS-RTM-0001 · v1.0</oddHeader>
    <oddFooter>&amp;LPharos · Matriz de Trazabilidad de Requisitos&amp;CConfidencial&amp;RPágina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5" min="3" style="0" width="16"/>
  </cols>
  <sheetData>
    <row r="1" customFormat="false" ht="25.5" hidden="false" customHeight="true" outlineLevel="0" collapsed="false">
      <c r="B1" s="1" t="s">
        <v>0</v>
      </c>
      <c r="C1" s="1"/>
      <c r="D1" s="1"/>
      <c r="E1" s="1"/>
    </row>
    <row r="2" customFormat="false" ht="19.5" hidden="false" customHeight="true" outlineLevel="0" collapsed="false">
      <c r="B2" s="2" t="s">
        <v>28</v>
      </c>
      <c r="C2" s="2"/>
      <c r="D2" s="2"/>
      <c r="E2" s="2"/>
    </row>
    <row r="4" customFormat="false" ht="15" hidden="false" customHeight="false" outlineLevel="0" collapsed="false">
      <c r="B4" s="9" t="s">
        <v>29</v>
      </c>
      <c r="C4" s="9"/>
      <c r="D4" s="9"/>
      <c r="E4" s="9"/>
    </row>
    <row r="5" customFormat="false" ht="15" hidden="false" customHeight="false" outlineLevel="0" collapsed="false">
      <c r="B5" s="3" t="s">
        <v>30</v>
      </c>
      <c r="C5" s="10" t="n">
        <f aca="false">SUMPRODUCT(((Matriz!$B$8:$B$25&lt;&gt;"")*1))</f>
        <v>0</v>
      </c>
      <c r="D5" s="10"/>
      <c r="E5" s="10"/>
    </row>
    <row r="6" customFormat="false" ht="15" hidden="false" customHeight="false" outlineLevel="0" collapsed="false">
      <c r="B6" s="3" t="s">
        <v>31</v>
      </c>
      <c r="C6" s="10" t="n">
        <f aca="false">COUNTIF(Matriz!$I$8:$I$25,"Cubierto")</f>
        <v>0</v>
      </c>
      <c r="D6" s="10"/>
      <c r="E6" s="10"/>
    </row>
    <row r="7" customFormat="false" ht="15" hidden="false" customHeight="false" outlineLevel="0" collapsed="false">
      <c r="B7" s="3" t="s">
        <v>32</v>
      </c>
      <c r="C7" s="10" t="n">
        <f aca="false">COUNTIF(Matriz!$I$8:$I$25,"No cubierto")</f>
        <v>0</v>
      </c>
      <c r="D7" s="10"/>
      <c r="E7" s="10"/>
    </row>
    <row r="8" customFormat="false" ht="15" hidden="false" customHeight="false" outlineLevel="0" collapsed="false">
      <c r="B8" s="3" t="s">
        <v>33</v>
      </c>
      <c r="C8" s="11" t="n">
        <f aca="false">IFERROR(C6/C5,0)</f>
        <v>0</v>
      </c>
      <c r="D8" s="11"/>
      <c r="E8" s="11"/>
    </row>
    <row r="10" customFormat="false" ht="15" hidden="false" customHeight="false" outlineLevel="0" collapsed="false">
      <c r="B10" s="9" t="s">
        <v>34</v>
      </c>
      <c r="C10" s="9"/>
      <c r="D10" s="9"/>
      <c r="E10" s="9"/>
    </row>
    <row r="11" customFormat="false" ht="15" hidden="false" customHeight="false" outlineLevel="0" collapsed="false">
      <c r="B11" s="3" t="s">
        <v>20</v>
      </c>
      <c r="C11" s="12" t="n">
        <f aca="false">COUNTIF(Matriz!$G$8:$G$25,"Pasa")</f>
        <v>0</v>
      </c>
      <c r="D11" s="12"/>
      <c r="E11" s="12"/>
    </row>
    <row r="12" customFormat="false" ht="15" hidden="false" customHeight="false" outlineLevel="0" collapsed="false">
      <c r="B12" s="3" t="s">
        <v>25</v>
      </c>
      <c r="C12" s="13" t="n">
        <f aca="false">COUNTIF(Matriz!$G$8:$G$25,"Falla")</f>
        <v>0</v>
      </c>
      <c r="D12" s="13"/>
      <c r="E12" s="13"/>
    </row>
    <row r="13" customFormat="false" ht="15" hidden="false" customHeight="false" outlineLevel="0" collapsed="false">
      <c r="B13" s="3" t="s">
        <v>35</v>
      </c>
      <c r="C13" s="14" t="n">
        <f aca="false">COUNTIF(Matriz!$G$8:$G$25,"Bloqueado")</f>
        <v>0</v>
      </c>
      <c r="D13" s="14"/>
      <c r="E13" s="14"/>
    </row>
    <row r="14" customFormat="false" ht="15" hidden="false" customHeight="false" outlineLevel="0" collapsed="false">
      <c r="B14" s="3" t="s">
        <v>36</v>
      </c>
      <c r="C14" s="15" t="n">
        <f aca="false">COUNTIF(Matriz!$G$8:$G$25,"No ejecutado")</f>
        <v>0</v>
      </c>
      <c r="D14" s="15"/>
      <c r="E14" s="15"/>
    </row>
    <row r="16" customFormat="false" ht="19.4" hidden="false" customHeight="true" outlineLevel="0" collapsed="false">
      <c r="B16" s="16" t="s">
        <v>37</v>
      </c>
      <c r="C16" s="16"/>
      <c r="D16" s="16"/>
      <c r="E16" s="16"/>
    </row>
  </sheetData>
  <mergeCells count="13">
    <mergeCell ref="B1:E1"/>
    <mergeCell ref="B2:E2"/>
    <mergeCell ref="B4:E4"/>
    <mergeCell ref="C5:E5"/>
    <mergeCell ref="C6:E6"/>
    <mergeCell ref="C7:E7"/>
    <mergeCell ref="C8:E8"/>
    <mergeCell ref="B10:E10"/>
    <mergeCell ref="C11:E11"/>
    <mergeCell ref="C12:E12"/>
    <mergeCell ref="C13:E13"/>
    <mergeCell ref="C14:E14"/>
    <mergeCell ref="B16:E16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&amp;CConfidencial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1" customFormat="false" ht="25.5" hidden="false" customHeight="true" outlineLevel="0" collapsed="false">
      <c r="B1" s="17" t="s">
        <v>0</v>
      </c>
    </row>
    <row r="2" customFormat="false" ht="19.5" hidden="false" customHeight="true" outlineLevel="0" collapsed="false">
      <c r="B2" s="18" t="s">
        <v>38</v>
      </c>
    </row>
    <row r="4" customFormat="false" ht="19.5" hidden="false" customHeight="true" outlineLevel="0" collapsed="false">
      <c r="B4" s="19" t="s">
        <v>39</v>
      </c>
    </row>
    <row r="5" customFormat="false" ht="33.75" hidden="false" customHeight="true" outlineLevel="0" collapsed="false">
      <c r="B5" s="20" t="s">
        <v>40</v>
      </c>
    </row>
    <row r="6" customFormat="false" ht="19.5" hidden="false" customHeight="true" outlineLevel="0" collapsed="false">
      <c r="B6" s="19" t="s">
        <v>41</v>
      </c>
    </row>
    <row r="7" customFormat="false" ht="33.75" hidden="false" customHeight="true" outlineLevel="0" collapsed="false">
      <c r="B7" s="20" t="s">
        <v>42</v>
      </c>
    </row>
    <row r="8" customFormat="false" ht="33.75" hidden="false" customHeight="true" outlineLevel="0" collapsed="false">
      <c r="B8" s="20" t="s">
        <v>43</v>
      </c>
    </row>
    <row r="9" customFormat="false" ht="33.75" hidden="false" customHeight="true" outlineLevel="0" collapsed="false">
      <c r="B9" s="20" t="s">
        <v>44</v>
      </c>
    </row>
    <row r="10" customFormat="false" ht="33.75" hidden="false" customHeight="true" outlineLevel="0" collapsed="false">
      <c r="B10" s="20" t="s">
        <v>45</v>
      </c>
    </row>
    <row r="11" customFormat="false" ht="33.75" hidden="false" customHeight="true" outlineLevel="0" collapsed="false">
      <c r="B11" s="20" t="s">
        <v>46</v>
      </c>
    </row>
    <row r="12" customFormat="false" ht="33.75" hidden="false" customHeight="true" outlineLevel="0" collapsed="false">
      <c r="B12" s="20" t="s">
        <v>47</v>
      </c>
    </row>
    <row r="13" customFormat="false" ht="33.75" hidden="false" customHeight="true" outlineLevel="0" collapsed="false">
      <c r="B13" s="20" t="s">
        <v>48</v>
      </c>
    </row>
    <row r="14" customFormat="false" ht="19.5" hidden="false" customHeight="true" outlineLevel="0" collapsed="false">
      <c r="B14" s="19" t="s">
        <v>49</v>
      </c>
    </row>
    <row r="15" customFormat="false" ht="33.75" hidden="false" customHeight="true" outlineLevel="0" collapsed="false">
      <c r="B15" s="20" t="s">
        <v>50</v>
      </c>
    </row>
    <row r="16" customFormat="false" ht="19.5" hidden="false" customHeight="true" outlineLevel="0" collapsed="false">
      <c r="B16" s="19" t="s">
        <v>51</v>
      </c>
    </row>
    <row r="17" customFormat="false" ht="33.75" hidden="false" customHeight="true" outlineLevel="0" collapsed="false">
      <c r="B17" s="20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&amp;CConfidencial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2026-07-27T02:44:05Z</dcterms:created>
  <dc:creator>openpyxl</dc:creator>
  <dc:description/>
  <dc:language>en-US</dc:language>
  <cp:lastModifiedBy/>
  <dcterms:modified xsi:type="dcterms:W3CDTF">2026-07-27T02:44:05Z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