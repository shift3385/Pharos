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Coverage Summary" sheetId="2" state="visible" r:id="rId4"/>
    <sheet name="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<sst xmlns="http://schemas.openxmlformats.org/spreadsheetml/2006/main" count="61" uniqueCount="53">
  <si>
    <t xml:space="preserve">PHAROS</t>
  </si>
  <si>
    <t xml:space="preserve">Requirements Traceability Matrix</t>
  </si>
  <si>
    <t xml:space="preserve">Document ID</t>
  </si>
  <si>
    <t xml:space="preserve">Project</t>
  </si>
  <si>
    <t xml:space="preserve">Version</t>
  </si>
  <si>
    <t xml:space="preserve">1.0</t>
  </si>
  <si>
    <t xml:space="preserve">REQUIREMENT ID</t>
  </si>
  <si>
    <t xml:space="preserve">REQUIREMENT DESCRIPTION</t>
  </si>
  <si>
    <t xml:space="preserve">PRIORITY</t>
  </si>
  <si>
    <t xml:space="preserve">TEST CASE ID</t>
  </si>
  <si>
    <t xml:space="preserve">TEST CASE DESCRIPTION</t>
  </si>
  <si>
    <t xml:space="preserve">TEST STATUS</t>
  </si>
  <si>
    <t xml:space="preserve">DEFECT ID</t>
  </si>
  <si>
    <t xml:space="preserve">COVERAGE</t>
  </si>
  <si>
    <t xml:space="preserve">COMMENTS</t>
  </si>
  <si>
    <t xml:space="preserve">REQ-001</t>
  </si>
  <si>
    <t xml:space="preserve">User can log in with valid credentials</t>
  </si>
  <si>
    <t xml:space="preserve">High</t>
  </si>
  <si>
    <t xml:space="preserve">ATS_001</t>
  </si>
  <si>
    <t xml:space="preserve">User login — positive path</t>
  </si>
  <si>
    <t xml:space="preserve">Pass</t>
  </si>
  <si>
    <t xml:space="preserve">Covered</t>
  </si>
  <si>
    <t xml:space="preserve">Happy path</t>
  </si>
  <si>
    <t xml:space="preserve">ATS_002</t>
  </si>
  <si>
    <t xml:space="preserve">User login — invalid credentials</t>
  </si>
  <si>
    <t xml:space="preserve">Fail</t>
  </si>
  <si>
    <t xml:space="preserve">DEF-014</t>
  </si>
  <si>
    <t xml:space="preserve">Full traceability: requirement → case → defect</t>
  </si>
  <si>
    <t xml:space="preserve">Coverage &amp; Execution Summary</t>
  </si>
  <si>
    <t xml:space="preserve">Requirement coverage</t>
  </si>
  <si>
    <t xml:space="preserve">Total requirements</t>
  </si>
  <si>
    <t xml:space="preserve">Covered requirements</t>
  </si>
  <si>
    <t xml:space="preserve">Uncovered requirements</t>
  </si>
  <si>
    <t xml:space="preserve">Coverage %</t>
  </si>
  <si>
    <t xml:space="preserve">Execution status</t>
  </si>
  <si>
    <t xml:space="preserve">Blocked</t>
  </si>
  <si>
    <t xml:space="preserve">Not Run</t>
  </si>
  <si>
    <t xml:space="preserve">Values are computed automatically from the 'Matrix' sheet. Recommended target: 100% coverage before test closure.</t>
  </si>
  <si>
    <t xml:space="preserve">How to use this matrix</t>
  </si>
  <si>
    <t xml:space="preserve">What is it?</t>
  </si>
  <si>
    <t xml:space="preserve">The Requirements Traceability Matrix (RTM) links each requirement to the test cases that verify it, their results, and any associated defects. It is the foundation of bi-directional traceability: from requirement to test and from test back to requirement.</t>
  </si>
  <si>
    <t xml:space="preserve">Columns</t>
  </si>
  <si>
    <t xml:space="preserve">REQUIREMENT ID / DESCRIPTION: the requirement or user story being traced.</t>
  </si>
  <si>
    <t xml:space="preserve">PRIORITY: requirement importance (High / Medium / Low).</t>
  </si>
  <si>
    <t xml:space="preserve">TEST CASE ID / DESCRIPTION: the case verifying the requirement. A requirement may have several cases (one row per link).</t>
  </si>
  <si>
    <t xml:space="preserve">TEST STATUS: Pass / Fail / Blocked / Not Run (dropdown).</t>
  </si>
  <si>
    <t xml:space="preserve">DEFECT ID: linked defect when the test fails; gives the full lineage requirement → case → defect.</t>
  </si>
  <si>
    <t xml:space="preserve">COVERAGE: Covered / Not Covered (dropdown). A requirement with no case stays 'Not Covered'.</t>
  </si>
  <si>
    <t xml:space="preserve">COMMENTS: additional context.</t>
  </si>
  <si>
    <t xml:space="preserve">In Pharos</t>
  </si>
  <si>
    <t xml:space="preserve">From v0.0.2, Pharos fills this matrix automatically: the requirement ID comes from the TRACEABILITY field of the test case, and the case ID/description/status already exist. The 'Coverage Summary' sheet recalculates on its own.</t>
  </si>
  <si>
    <t xml:space="preserve">Standards</t>
  </si>
  <si>
    <t xml:space="preserve">Compliant with ISO/IEC/IEEE 29119 (traceability test basis ↔ testware ↔ results ↔ defects) and ISTQB CTFL v4.0.1 §1.4.4.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</si>
</sst>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2A3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4324F"/>
      <name val="Arial"/>
      <family val="0"/>
      <charset val="1"/>
    </font>
    <font>
      <sz val="9"/>
      <color rgb="FF1C253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C2530"/>
      <name val="Arial"/>
      <family val="0"/>
      <charset val="1"/>
    </font>
    <font>
      <b val="true"/>
      <sz val="11"/>
      <color rgb="FF4A2E05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D64545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5F6B7A"/>
      <name val="Arial"/>
      <family val="0"/>
      <charset val="1"/>
    </font>
    <font>
      <i val="true"/>
      <sz val="8"/>
      <color rgb="FF5F6B7A"/>
      <name val="Arial"/>
      <family val="0"/>
      <charset val="1"/>
    </font>
    <font>
      <b val="true"/>
      <sz val="10"/>
      <color rgb="FF14324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3"/>
        <bgColor rgb="FF1C2530"/>
      </patternFill>
    </fill>
    <fill>
      <patternFill patternType="solid">
        <fgColor rgb="FF14324F"/>
        <bgColor rgb="FF1C2530"/>
      </patternFill>
    </fill>
    <fill>
      <patternFill patternType="solid">
        <fgColor rgb="FFE3EEF7"/>
        <bgColor rgb="FFE2E6EB"/>
      </patternFill>
    </fill>
    <fill>
      <patternFill patternType="solid">
        <fgColor rgb="FFFFFFFF"/>
        <bgColor rgb="FFF7F8FA"/>
      </patternFill>
    </fill>
    <fill>
      <patternFill patternType="solid">
        <fgColor rgb="FF1F4E79"/>
        <bgColor rgb="FF14324F"/>
      </patternFill>
    </fill>
    <fill>
      <patternFill patternType="solid">
        <fgColor rgb="FFF7F8FA"/>
        <bgColor rgb="FFFFFFFF"/>
      </patternFill>
    </fill>
    <fill>
      <patternFill patternType="solid">
        <fgColor rgb="FFF2A33C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6EB"/>
      </left>
      <right style="thin">
        <color rgb="FFE2E6EB"/>
      </right>
      <top style="thin">
        <color rgb="FFE2E6EB"/>
      </top>
      <bottom style="thin">
        <color rgb="FFE2E6EB"/>
      </bottom>
      <diagonal/>
    </border>
    <border diagonalUp="false" diagonalDown="false">
      <left style="thin">
        <color rgb="FFE2E6EB"/>
      </left>
      <right/>
      <top style="thin">
        <color rgb="FFE2E6EB"/>
      </top>
      <bottom style="thin">
        <color rgb="FFE2E6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D64545"/>
      <rgbColor rgb="FFF7F8FA"/>
      <rgbColor rgb="FFE3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6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33C"/>
      <rgbColor rgb="FFFF6600"/>
      <rgbColor rgb="FF5F6B7A"/>
      <rgbColor rgb="FF969696"/>
      <rgbColor rgb="FF14324F"/>
      <rgbColor rgb="FF1D9E75"/>
      <rgbColor rgb="FF0B1F33"/>
      <rgbColor rgb="FF4A2E05"/>
      <rgbColor rgb="FF993300"/>
      <rgbColor rgb="FF993366"/>
      <rgbColor rgb="FF1F4E79"/>
      <rgbColor rgb="FF1C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2</v>
      </c>
      <c r="C3" s="4"/>
      <c r="D3" s="4"/>
      <c r="E3" s="3" t="s">
        <v>3</v>
      </c>
      <c r="F3" s="4"/>
      <c r="G3" s="4"/>
      <c r="H3" s="3" t="s">
        <v>4</v>
      </c>
      <c r="I3" s="4" t="s">
        <v>5</v>
      </c>
      <c r="J3" s="4"/>
    </row>
    <row r="5" customFormat="false" ht="30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</row>
    <row r="6" customFormat="false" ht="27.75" hidden="false" customHeight="true" outlineLevel="0" collapsed="false"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/>
      <c r="I6" s="6" t="s">
        <v>21</v>
      </c>
      <c r="J6" s="6" t="s">
        <v>22</v>
      </c>
    </row>
    <row r="7" customFormat="false" ht="27.75" hidden="false" customHeight="true" outlineLevel="0" collapsed="false">
      <c r="B7" s="6" t="s">
        <v>15</v>
      </c>
      <c r="C7" s="6" t="s">
        <v>16</v>
      </c>
      <c r="D7" s="6" t="s">
        <v>17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21</v>
      </c>
      <c r="J7" s="6" t="s">
        <v>27</v>
      </c>
    </row>
    <row r="8" customFormat="false" ht="15" hidden="false" customHeight="false" outlineLevel="0" collapsed="false"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8"/>
      <c r="C25" s="8"/>
      <c r="D25" s="8"/>
      <c r="E25" s="8"/>
      <c r="F25" s="8"/>
      <c r="G25" s="8"/>
      <c r="H25" s="8"/>
      <c r="I25" s="8"/>
      <c r="J25" s="8"/>
    </row>
  </sheetData>
  <mergeCells count="5">
    <mergeCell ref="B1:J1"/>
    <mergeCell ref="B2:J2"/>
    <mergeCell ref="C3:D3"/>
    <mergeCell ref="F3:G3"/>
    <mergeCell ref="I3:J3"/>
  </mergeCells>
  <dataValidations count="3">
    <dataValidation allowBlank="true" errorStyle="stop" operator="between" showDropDown="false" showErrorMessage="false" showInputMessage="false" sqref="G8:G25" type="list">
      <formula1>"Pass,Fail,Blocked,Not Run"</formula1>
      <formula2>0</formula2>
    </dataValidation>
    <dataValidation allowBlank="true" errorStyle="stop" operator="between" showDropDown="false" showErrorMessage="false" showInputMessage="false" sqref="I8:I25" type="list">
      <formula1>"Covered,Not Covered"</formula1>
      <formula2>0</formula2>
    </dataValidation>
    <dataValidation allowBlank="true" errorStyle="stop" operator="between" showDropDown="false" showErrorMessage="false" showInputMessage="false" sqref="D8:D25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&amp;RPHRS-RTM-0001 · v1.0</oddHeader>
    <oddFooter>&amp;LPharos · Requirements Traceability Matrix&amp;CConfidential&amp;RPage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5" min="3" style="0" width="16"/>
  </cols>
  <sheetData>
    <row r="1" customFormat="false" ht="25.5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28</v>
      </c>
      <c r="C2" s="2"/>
      <c r="D2" s="2"/>
      <c r="E2" s="2"/>
    </row>
    <row r="4" customFormat="false" ht="15" hidden="false" customHeight="false" outlineLevel="0" collapsed="false">
      <c r="B4" s="9" t="s">
        <v>29</v>
      </c>
      <c r="C4" s="9"/>
      <c r="D4" s="9"/>
      <c r="E4" s="9"/>
    </row>
    <row r="5" customFormat="false" ht="15" hidden="false" customHeight="false" outlineLevel="0" collapsed="false">
      <c r="B5" s="3" t="s">
        <v>30</v>
      </c>
      <c r="C5" s="10" t="n">
        <f aca="false">SUMPRODUCT(((Matrix!$B$8:$B$25&lt;&gt;"")*1))</f>
        <v>0</v>
      </c>
      <c r="D5" s="10"/>
      <c r="E5" s="10"/>
    </row>
    <row r="6" customFormat="false" ht="15" hidden="false" customHeight="false" outlineLevel="0" collapsed="false">
      <c r="B6" s="3" t="s">
        <v>31</v>
      </c>
      <c r="C6" s="10" t="n">
        <f aca="false">COUNTIF(Matrix!$I$8:$I$25,"Covered")</f>
        <v>0</v>
      </c>
      <c r="D6" s="10"/>
      <c r="E6" s="10"/>
    </row>
    <row r="7" customFormat="false" ht="15" hidden="false" customHeight="false" outlineLevel="0" collapsed="false">
      <c r="B7" s="3" t="s">
        <v>32</v>
      </c>
      <c r="C7" s="10" t="n">
        <f aca="false">COUNTIF(Matrix!$I$8:$I$25,"Not Covered")</f>
        <v>0</v>
      </c>
      <c r="D7" s="10"/>
      <c r="E7" s="10"/>
    </row>
    <row r="8" customFormat="false" ht="15" hidden="false" customHeight="false" outlineLevel="0" collapsed="false">
      <c r="B8" s="3" t="s">
        <v>33</v>
      </c>
      <c r="C8" s="11" t="n">
        <f aca="false">IFERROR(C6/C5,0)</f>
        <v>0</v>
      </c>
      <c r="D8" s="11"/>
      <c r="E8" s="11"/>
    </row>
    <row r="10" customFormat="false" ht="15" hidden="false" customHeight="false" outlineLevel="0" collapsed="false">
      <c r="B10" s="9" t="s">
        <v>34</v>
      </c>
      <c r="C10" s="9"/>
      <c r="D10" s="9"/>
      <c r="E10" s="9"/>
    </row>
    <row r="11" customFormat="false" ht="15" hidden="false" customHeight="false" outlineLevel="0" collapsed="false">
      <c r="B11" s="3" t="s">
        <v>20</v>
      </c>
      <c r="C11" s="12" t="n">
        <f aca="false">COUNTIF(Matrix!$G$8:$G$25,"Pass")</f>
        <v>0</v>
      </c>
      <c r="D11" s="12"/>
      <c r="E11" s="12"/>
    </row>
    <row r="12" customFormat="false" ht="15" hidden="false" customHeight="false" outlineLevel="0" collapsed="false">
      <c r="B12" s="3" t="s">
        <v>25</v>
      </c>
      <c r="C12" s="13" t="n">
        <f aca="false">COUNTIF(Matrix!$G$8:$G$25,"Fail")</f>
        <v>0</v>
      </c>
      <c r="D12" s="13"/>
      <c r="E12" s="13"/>
    </row>
    <row r="13" customFormat="false" ht="15" hidden="false" customHeight="false" outlineLevel="0" collapsed="false">
      <c r="B13" s="3" t="s">
        <v>35</v>
      </c>
      <c r="C13" s="14" t="n">
        <f aca="false">COUNTIF(Matrix!$G$8:$G$25,"Blocked")</f>
        <v>0</v>
      </c>
      <c r="D13" s="14"/>
      <c r="E13" s="14"/>
    </row>
    <row r="14" customFormat="false" ht="15" hidden="false" customHeight="false" outlineLevel="0" collapsed="false">
      <c r="B14" s="3" t="s">
        <v>36</v>
      </c>
      <c r="C14" s="15" t="n">
        <f aca="false">COUNTIF(Matrix!$G$8:$G$25,"Not Run")</f>
        <v>0</v>
      </c>
      <c r="D14" s="15"/>
      <c r="E14" s="15"/>
    </row>
    <row r="16" customFormat="false" ht="15" hidden="false" customHeight="true" outlineLevel="0" collapsed="false">
      <c r="B16" s="16" t="s">
        <v>37</v>
      </c>
      <c r="C16" s="16"/>
      <c r="D16" s="16"/>
      <c r="E16" s="16"/>
    </row>
  </sheetData>
  <mergeCells count="13">
    <mergeCell ref="B1:E1"/>
    <mergeCell ref="B2:E2"/>
    <mergeCell ref="B4:E4"/>
    <mergeCell ref="C5:E5"/>
    <mergeCell ref="C6:E6"/>
    <mergeCell ref="C7:E7"/>
    <mergeCell ref="C8:E8"/>
    <mergeCell ref="B10:E10"/>
    <mergeCell ref="C11:E11"/>
    <mergeCell ref="C12:E12"/>
    <mergeCell ref="C13:E13"/>
    <mergeCell ref="C14:E14"/>
    <mergeCell ref="B16:E1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5.5" hidden="false" customHeight="true" outlineLevel="0" collapsed="false">
      <c r="B1" s="17" t="s">
        <v>0</v>
      </c>
    </row>
    <row r="2" customFormat="false" ht="19.5" hidden="false" customHeight="true" outlineLevel="0" collapsed="false">
      <c r="B2" s="18" t="s">
        <v>38</v>
      </c>
    </row>
    <row r="4" customFormat="false" ht="19.5" hidden="false" customHeight="true" outlineLevel="0" collapsed="false">
      <c r="B4" s="19" t="s">
        <v>39</v>
      </c>
    </row>
    <row r="5" customFormat="false" ht="33.75" hidden="false" customHeight="true" outlineLevel="0" collapsed="false">
      <c r="B5" s="20" t="s">
        <v>40</v>
      </c>
    </row>
    <row r="6" customFormat="false" ht="19.5" hidden="false" customHeight="true" outlineLevel="0" collapsed="false">
      <c r="B6" s="19" t="s">
        <v>41</v>
      </c>
    </row>
    <row r="7" customFormat="false" ht="33.75" hidden="false" customHeight="true" outlineLevel="0" collapsed="false">
      <c r="B7" s="20" t="s">
        <v>42</v>
      </c>
    </row>
    <row r="8" customFormat="false" ht="33.75" hidden="false" customHeight="true" outlineLevel="0" collapsed="false">
      <c r="B8" s="20" t="s">
        <v>43</v>
      </c>
    </row>
    <row r="9" customFormat="false" ht="33.75" hidden="false" customHeight="true" outlineLevel="0" collapsed="false">
      <c r="B9" s="20" t="s">
        <v>44</v>
      </c>
    </row>
    <row r="10" customFormat="false" ht="33.75" hidden="false" customHeight="true" outlineLevel="0" collapsed="false">
      <c r="B10" s="20" t="s">
        <v>45</v>
      </c>
    </row>
    <row r="11" customFormat="false" ht="33.75" hidden="false" customHeight="true" outlineLevel="0" collapsed="false">
      <c r="B11" s="20" t="s">
        <v>46</v>
      </c>
    </row>
    <row r="12" customFormat="false" ht="33.75" hidden="false" customHeight="true" outlineLevel="0" collapsed="false">
      <c r="B12" s="20" t="s">
        <v>47</v>
      </c>
    </row>
    <row r="13" customFormat="false" ht="33.75" hidden="false" customHeight="true" outlineLevel="0" collapsed="false">
      <c r="B13" s="20" t="s">
        <v>48</v>
      </c>
    </row>
    <row r="14" customFormat="false" ht="19.5" hidden="false" customHeight="true" outlineLevel="0" collapsed="false">
      <c r="B14" s="19" t="s">
        <v>49</v>
      </c>
    </row>
    <row r="15" customFormat="false" ht="33.75" hidden="false" customHeight="true" outlineLevel="0" collapsed="false">
      <c r="B15" s="20" t="s">
        <v>50</v>
      </c>
    </row>
    <row r="16" customFormat="false" ht="19.5" hidden="false" customHeight="true" outlineLevel="0" collapsed="false">
      <c r="B16" s="19" t="s">
        <v>51</v>
      </c>
    </row>
    <row r="17" customFormat="false" ht="33.75" hidden="false" customHeight="true" outlineLevel="0" collapsed="false">
      <c r="B17" s="2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2026-07-27T02:44:05Z</dcterms:created>
  <dc:creator>openpyxl</dc:creator>
  <dc:description/>
  <dc:language>en-US</dc:language>
  <cp:lastModifiedBy/>
  <dcterms:modified xsi:type="dcterms:W3CDTF">2026-07-27T02:44:05Z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